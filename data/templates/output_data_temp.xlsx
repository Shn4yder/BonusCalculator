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.komarkova\Documents\projects\BonusCalculator\data\templates\"/>
    </mc:Choice>
  </mc:AlternateContent>
  <bookViews>
    <workbookView xWindow="32760" yWindow="32760" windowWidth="32760" windowHeight="12105"/>
  </bookViews>
  <sheets>
    <sheet name="Лист1" sheetId="1" r:id="rId1"/>
  </sheets>
  <definedNames>
    <definedName name="_xlnm.Print_Area" localSheetId="0">Лист1!$A$1:$I$23</definedName>
  </definedNames>
  <calcPr calcId="152511"/>
</workbook>
</file>

<file path=xl/calcChain.xml><?xml version="1.0" encoding="utf-8"?>
<calcChain xmlns="http://schemas.openxmlformats.org/spreadsheetml/2006/main">
  <c r="B12" i="1" l="1"/>
  <c r="G7" i="1" l="1"/>
  <c r="G6" i="1"/>
  <c r="G8" i="1"/>
  <c r="G9" i="1"/>
  <c r="G5" i="1"/>
  <c r="C10" i="1"/>
  <c r="D10" i="1"/>
  <c r="E10" i="1"/>
  <c r="F10" i="1"/>
  <c r="B10" i="1"/>
  <c r="G10" i="1" l="1"/>
  <c r="H8" i="1" s="1"/>
  <c r="I8" i="1" s="1"/>
  <c r="H7" i="1" l="1"/>
  <c r="I7" i="1" s="1"/>
  <c r="H9" i="1"/>
  <c r="I9" i="1" s="1"/>
  <c r="H6" i="1"/>
  <c r="I6" i="1" s="1"/>
  <c r="H10" i="1"/>
  <c r="H5" i="1"/>
  <c r="I5" i="1" s="1"/>
</calcChain>
</file>

<file path=xl/connections.xml><?xml version="1.0" encoding="utf-8"?>
<connections xmlns="http://schemas.openxmlformats.org/spreadsheetml/2006/main">
  <connection id="1" keepAlive="1" name="Подключение" type="5" refreshedVersion="4">
    <dbPr connection="Provider=MSOLAP.5;Persist Security Info=True;Data Source=C:\Users\BC281~1.YAS\AppData\Local\Temp\Visual Reports Temporary Data\{804e28b1-33a0-f011-82d9-00155d012b03}\AssignmentTP.cub;MDX Compatibility=1;Safety Options=2;MDX Missing Member Mode=Error" command="ProjectReport" commandType="1"/>
    <olapPr sendLocale="1" rowDrillCount="1000"/>
  </connection>
  <connection id="2" keepAlive="1" name="Подключение1" type="5" refreshedVersion="4">
    <dbPr connection="Provider=MSOLAP.5;Persist Security Info=True;Data Source=C:\Users\OANUFR~1.TUR\AppData\Local\Temp\Visual Reports Temporary Data\{520632a4-41a0-f011-9b32-9c6b003227d0}\AssignmentTP.cub;MDX Compatibility=1;Safety Options=2;MDX Missing Member Mode=Error" command="ProjectReport" commandType="1"/>
    <olapPr sendLocale="1" rowDrillCount="1000"/>
  </connection>
</connections>
</file>

<file path=xl/sharedStrings.xml><?xml version="1.0" encoding="utf-8"?>
<sst xmlns="http://schemas.openxmlformats.org/spreadsheetml/2006/main" count="30" uniqueCount="29">
  <si>
    <t>Ресурсы</t>
  </si>
  <si>
    <t>Общий итог</t>
  </si>
  <si>
    <t>2025</t>
  </si>
  <si>
    <t>КТУ</t>
  </si>
  <si>
    <t>Руководитель проекта</t>
  </si>
  <si>
    <t>Руководитель проектного офиса</t>
  </si>
  <si>
    <t>Ануфриева О.Н.</t>
  </si>
  <si>
    <t>Октябрь</t>
  </si>
  <si>
    <t>Ноябрь</t>
  </si>
  <si>
    <t>Декабрь</t>
  </si>
  <si>
    <t>Мегрелишвили М.Э.</t>
  </si>
  <si>
    <r>
      <t xml:space="preserve">Расчет премии исполнителей по проекту 
</t>
    </r>
    <r>
      <rPr>
        <b/>
        <sz val="11"/>
        <color indexed="8"/>
        <rFont val="Calibri"/>
        <family val="2"/>
        <charset val="204"/>
      </rPr>
      <t>"Автоматизация процессов контроля проектной деятельности и начисления заработной платы с помощью ИИ"</t>
    </r>
  </si>
  <si>
    <t>Гапонова К.С.</t>
  </si>
  <si>
    <t>Амураль И.Б.</t>
  </si>
  <si>
    <t>Куратор / Заказчик</t>
  </si>
  <si>
    <t>ПРЕМИЯ</t>
  </si>
  <si>
    <t>Фактические трудозатраты</t>
  </si>
  <si>
    <t>Год</t>
  </si>
  <si>
    <t>Месяц</t>
  </si>
  <si>
    <t>2026</t>
  </si>
  <si>
    <t>Январь</t>
  </si>
  <si>
    <t>Февраль</t>
  </si>
  <si>
    <t>Тищенко Марина Николаевна</t>
  </si>
  <si>
    <t>Ануфриева Оксана Николаевна</t>
  </si>
  <si>
    <t>Давлетов Руслан Игоревич</t>
  </si>
  <si>
    <t>Уставицкий Андрей Алексеевич</t>
  </si>
  <si>
    <t xml:space="preserve">Премия РП </t>
  </si>
  <si>
    <t>Мангасарян Давид Каренович</t>
  </si>
  <si>
    <t>Инвестор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</si>
</sst>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₽&quot;_-;\-* #,##0.00\ &quot;₽&quot;_-;_-* &quot;-&quot;??\ &quot;₽&quot;_-;_-@_-"/>
    <numFmt numFmtId="164" formatCode="#,##0.00\ &quot;₽&quot;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mbria"/>
      <family val="1"/>
      <charset val="204"/>
    </font>
    <font>
      <b/>
      <i/>
      <sz val="11"/>
      <color rgb="FF000000"/>
      <name val="Cambria"/>
      <family val="1"/>
      <charset val="204"/>
    </font>
    <font>
      <i/>
      <sz val="11"/>
      <color rgb="FF000000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2">
    <xf numFmtId="0" fontId="0" fillId="0" borderId="0" xfId="0"/>
    <xf numFmtId="0" fontId="4" fillId="0" borderId="0" xfId="2" applyFont="1"/>
    <xf numFmtId="0" fontId="4" fillId="0" borderId="1" xfId="2" applyFont="1" applyBorder="1" applyAlignment="1">
      <alignment horizontal="center"/>
    </xf>
    <xf numFmtId="0" fontId="4" fillId="0" borderId="0" xfId="2" applyFont="1" applyAlignment="1">
      <alignment horizontal="center"/>
    </xf>
    <xf numFmtId="0" fontId="0" fillId="0" borderId="2" xfId="0" applyBorder="1" applyAlignment="1">
      <alignment vertical="center"/>
    </xf>
    <xf numFmtId="164" fontId="0" fillId="0" borderId="0" xfId="0" applyNumberFormat="1" applyBorder="1"/>
    <xf numFmtId="0" fontId="0" fillId="0" borderId="0" xfId="0" applyBorder="1"/>
    <xf numFmtId="0" fontId="5" fillId="0" borderId="0" xfId="2" applyFont="1" applyAlignment="1">
      <alignment wrapText="1"/>
    </xf>
    <xf numFmtId="164" fontId="5" fillId="0" borderId="0" xfId="1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vertical="center"/>
    </xf>
    <xf numFmtId="164" fontId="3" fillId="0" borderId="2" xfId="0" applyNumberFormat="1" applyFont="1" applyBorder="1" applyAlignment="1">
      <alignment vertical="center" wrapText="1"/>
    </xf>
    <xf numFmtId="0" fontId="0" fillId="0" borderId="5" xfId="0" applyFill="1" applyBorder="1" applyAlignment="1">
      <alignment horizontal="left" wrapText="1"/>
    </xf>
    <xf numFmtId="0" fontId="0" fillId="0" borderId="5" xfId="0" applyFill="1" applyBorder="1" applyAlignment="1">
      <alignment horizontal="center" wrapText="1"/>
    </xf>
    <xf numFmtId="2" fontId="0" fillId="0" borderId="5" xfId="0" applyNumberFormat="1" applyFill="1" applyBorder="1" applyAlignment="1">
      <alignment horizontal="center" wrapText="1"/>
    </xf>
    <xf numFmtId="164" fontId="6" fillId="0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3">
    <cellStyle name="Денежный 2" xfId="1"/>
    <cellStyle name="Обычный" xfId="0" builtinId="0"/>
    <cellStyle name="Обычн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tabSelected="1" zoomScaleNormal="100" zoomScaleSheetLayoutView="100" workbookViewId="0">
      <selection activeCell="J8" sqref="J8"/>
    </sheetView>
  </sheetViews>
  <sheetFormatPr defaultRowHeight="15" x14ac:dyDescent="0.25"/>
  <cols>
    <col min="1" max="1" width="43" customWidth="1"/>
    <col min="2" max="3" width="9.5703125" customWidth="1"/>
    <col min="4" max="5" width="12.5703125" bestFit="1" customWidth="1"/>
    <col min="6" max="6" width="11.5703125" bestFit="1" customWidth="1"/>
    <col min="7" max="7" width="19.42578125" customWidth="1"/>
    <col min="8" max="8" width="9.5703125" bestFit="1" customWidth="1"/>
    <col min="9" max="9" width="15" customWidth="1"/>
    <col min="10" max="10" width="82.85546875" customWidth="1"/>
    <col min="11" max="11" width="18.28515625" customWidth="1"/>
    <col min="12" max="12" width="14.42578125" customWidth="1"/>
    <col min="13" max="13" width="12" bestFit="1" customWidth="1"/>
  </cols>
  <sheetData>
    <row r="1" spans="1:11" ht="30" customHeight="1" x14ac:dyDescent="0.25">
      <c r="A1" s="15" t="s">
        <v>11</v>
      </c>
      <c r="B1" s="15"/>
      <c r="C1" s="15"/>
      <c r="D1" s="15"/>
      <c r="E1" s="15"/>
      <c r="F1" s="15"/>
      <c r="G1" s="15"/>
      <c r="H1" s="16" t="s">
        <v>3</v>
      </c>
      <c r="I1" s="19" t="s">
        <v>15</v>
      </c>
    </row>
    <row r="2" spans="1:11" ht="15.75" customHeight="1" x14ac:dyDescent="0.25">
      <c r="A2" s="11" t="s">
        <v>16</v>
      </c>
      <c r="B2" s="12" t="s">
        <v>17</v>
      </c>
      <c r="C2" s="12" t="s">
        <v>18</v>
      </c>
      <c r="D2" s="12"/>
      <c r="E2" s="12"/>
      <c r="F2" s="12"/>
      <c r="G2" s="12"/>
      <c r="H2" s="17"/>
      <c r="I2" s="20"/>
    </row>
    <row r="3" spans="1:11" ht="15.75" customHeight="1" x14ac:dyDescent="0.25">
      <c r="A3" s="11"/>
      <c r="B3" s="12" t="s">
        <v>2</v>
      </c>
      <c r="C3" s="12"/>
      <c r="D3" s="12"/>
      <c r="E3" s="12" t="s">
        <v>19</v>
      </c>
      <c r="F3" s="12"/>
      <c r="G3" s="12" t="s">
        <v>1</v>
      </c>
      <c r="H3" s="17"/>
      <c r="I3" s="20"/>
    </row>
    <row r="4" spans="1:11" ht="33.75" customHeight="1" x14ac:dyDescent="0.25">
      <c r="A4" s="11" t="s">
        <v>0</v>
      </c>
      <c r="B4" s="12" t="s">
        <v>7</v>
      </c>
      <c r="C4" s="12" t="s">
        <v>8</v>
      </c>
      <c r="D4" s="12" t="s">
        <v>9</v>
      </c>
      <c r="E4" s="12" t="s">
        <v>20</v>
      </c>
      <c r="F4" s="12" t="s">
        <v>21</v>
      </c>
      <c r="G4" s="12"/>
      <c r="H4" s="18"/>
      <c r="I4" s="21"/>
    </row>
    <row r="5" spans="1:11" ht="15.75" customHeight="1" x14ac:dyDescent="0.25">
      <c r="A5" s="11" t="s">
        <v>22</v>
      </c>
      <c r="B5" s="13">
        <v>15</v>
      </c>
      <c r="C5" s="13">
        <v>145.25952380952381</v>
      </c>
      <c r="D5" s="13">
        <v>85.5</v>
      </c>
      <c r="E5" s="13">
        <v>3</v>
      </c>
      <c r="F5" s="13">
        <v>2</v>
      </c>
      <c r="G5" s="13">
        <f>SUM(B5:F5)</f>
        <v>250.75952380952381</v>
      </c>
      <c r="H5" s="9">
        <f t="shared" ref="H5:H10" si="0">G5*100/$G$10</f>
        <v>28.672352913952178</v>
      </c>
      <c r="I5" s="10">
        <f>H5/100*I10</f>
        <v>14855.082965542211</v>
      </c>
    </row>
    <row r="6" spans="1:11" ht="31.5" customHeight="1" x14ac:dyDescent="0.25">
      <c r="A6" s="11" t="s">
        <v>23</v>
      </c>
      <c r="B6" s="13">
        <v>15</v>
      </c>
      <c r="C6" s="13">
        <v>143.66666666666669</v>
      </c>
      <c r="D6" s="13">
        <v>82.5</v>
      </c>
      <c r="E6" s="13">
        <v>3</v>
      </c>
      <c r="F6" s="13">
        <v>5</v>
      </c>
      <c r="G6" s="13">
        <f>SUM(B6:F6)</f>
        <v>249.16666666666669</v>
      </c>
      <c r="H6" s="9">
        <f t="shared" si="0"/>
        <v>28.490222395247727</v>
      </c>
      <c r="I6" s="10">
        <f>H6/100*I10</f>
        <v>14760.721544488577</v>
      </c>
    </row>
    <row r="7" spans="1:11" ht="15.75" customHeight="1" x14ac:dyDescent="0.25">
      <c r="A7" s="11" t="s">
        <v>24</v>
      </c>
      <c r="B7" s="13">
        <v>8</v>
      </c>
      <c r="C7" s="13">
        <v>149.64285714285714</v>
      </c>
      <c r="D7" s="13">
        <v>118</v>
      </c>
      <c r="E7" s="13">
        <v>99</v>
      </c>
      <c r="F7" s="13">
        <v>0</v>
      </c>
      <c r="G7" s="13">
        <f>SUM(B7:F7)-F8-F9</f>
        <v>340.64285714285711</v>
      </c>
      <c r="H7" s="9">
        <f t="shared" si="0"/>
        <v>38.949795681682673</v>
      </c>
      <c r="I7" s="10">
        <f>H7/100*I10</f>
        <v>20179.803453129294</v>
      </c>
    </row>
    <row r="8" spans="1:11" ht="15.75" customHeight="1" x14ac:dyDescent="0.25">
      <c r="A8" s="11" t="s">
        <v>25</v>
      </c>
      <c r="B8" s="13"/>
      <c r="C8" s="13"/>
      <c r="D8" s="13"/>
      <c r="E8" s="13"/>
      <c r="F8" s="13">
        <v>10</v>
      </c>
      <c r="G8" s="13">
        <f>SUM(B8:F8)</f>
        <v>10</v>
      </c>
      <c r="H8" s="9">
        <f t="shared" si="0"/>
        <v>1.14342029679924</v>
      </c>
      <c r="I8" s="10">
        <f>H8/100*I10</f>
        <v>592.40354024703322</v>
      </c>
      <c r="J8" s="5"/>
      <c r="K8" s="6"/>
    </row>
    <row r="9" spans="1:11" ht="15.75" customHeight="1" x14ac:dyDescent="0.25">
      <c r="A9" s="11" t="s">
        <v>27</v>
      </c>
      <c r="B9" s="13"/>
      <c r="C9" s="13"/>
      <c r="D9" s="13"/>
      <c r="E9" s="13"/>
      <c r="F9" s="13">
        <v>24</v>
      </c>
      <c r="G9" s="13">
        <f>SUM(B9:F9)</f>
        <v>24</v>
      </c>
      <c r="H9" s="9">
        <f t="shared" si="0"/>
        <v>2.7442087123181755</v>
      </c>
      <c r="I9" s="10">
        <f>H9/100*I10</f>
        <v>1421.7684965928797</v>
      </c>
      <c r="J9" s="5"/>
      <c r="K9" s="6"/>
    </row>
    <row r="10" spans="1:11" ht="15.75" customHeight="1" x14ac:dyDescent="0.25">
      <c r="A10" s="11" t="s">
        <v>1</v>
      </c>
      <c r="B10" s="13">
        <f t="shared" ref="B10:G10" si="1">SUM(B5:B9)</f>
        <v>38</v>
      </c>
      <c r="C10" s="13">
        <f t="shared" si="1"/>
        <v>438.56904761904764</v>
      </c>
      <c r="D10" s="13">
        <f t="shared" si="1"/>
        <v>286</v>
      </c>
      <c r="E10" s="13">
        <f t="shared" si="1"/>
        <v>105</v>
      </c>
      <c r="F10" s="13">
        <f t="shared" si="1"/>
        <v>41</v>
      </c>
      <c r="G10" s="13">
        <f t="shared" si="1"/>
        <v>874.56904761904764</v>
      </c>
      <c r="H10" s="4">
        <f t="shared" si="0"/>
        <v>100</v>
      </c>
      <c r="I10" s="10">
        <v>51809.78</v>
      </c>
    </row>
    <row r="12" spans="1:11" x14ac:dyDescent="0.25">
      <c r="A12" s="1" t="s">
        <v>26</v>
      </c>
      <c r="B12" s="14">
        <f>21012</f>
        <v>21012</v>
      </c>
      <c r="C12" s="14"/>
    </row>
    <row r="13" spans="1:11" x14ac:dyDescent="0.25">
      <c r="A13" s="7"/>
      <c r="B13" s="14"/>
      <c r="C13" s="14"/>
    </row>
    <row r="14" spans="1:11" x14ac:dyDescent="0.25">
      <c r="A14" s="7"/>
      <c r="B14" s="8"/>
      <c r="C14" s="8"/>
    </row>
    <row r="15" spans="1:11" x14ac:dyDescent="0.25">
      <c r="A15" s="1"/>
      <c r="B15" s="1"/>
      <c r="C15" s="1"/>
    </row>
    <row r="16" spans="1:11" x14ac:dyDescent="0.25">
      <c r="A16" s="1" t="s">
        <v>4</v>
      </c>
      <c r="B16" s="2"/>
      <c r="C16" s="1" t="s">
        <v>12</v>
      </c>
    </row>
    <row r="17" spans="1:3" x14ac:dyDescent="0.25">
      <c r="A17" s="1"/>
      <c r="B17" s="1"/>
      <c r="C17" s="1"/>
    </row>
    <row r="18" spans="1:3" x14ac:dyDescent="0.25">
      <c r="A18" s="1" t="s">
        <v>14</v>
      </c>
      <c r="B18" s="2"/>
      <c r="C18" s="1" t="s">
        <v>13</v>
      </c>
    </row>
    <row r="19" spans="1:3" x14ac:dyDescent="0.25">
      <c r="A19" s="1"/>
      <c r="B19" s="3"/>
      <c r="C19" s="1"/>
    </row>
    <row r="20" spans="1:3" x14ac:dyDescent="0.25">
      <c r="A20" s="1" t="s">
        <v>28</v>
      </c>
      <c r="B20" s="2"/>
      <c r="C20" s="1" t="s">
        <v>10</v>
      </c>
    </row>
    <row r="21" spans="1:3" x14ac:dyDescent="0.25">
      <c r="A21" s="1"/>
      <c r="B21" s="3"/>
      <c r="C21" s="1"/>
    </row>
    <row r="22" spans="1:3" x14ac:dyDescent="0.25">
      <c r="A22" s="1" t="s">
        <v>5</v>
      </c>
      <c r="B22" s="2"/>
      <c r="C22" s="1" t="s">
        <v>6</v>
      </c>
    </row>
    <row r="36" spans="1:3" x14ac:dyDescent="0.25">
      <c r="A36" s="1"/>
      <c r="B36" s="1"/>
      <c r="C36" s="1"/>
    </row>
  </sheetData>
  <mergeCells count="4">
    <mergeCell ref="B12:C13"/>
    <mergeCell ref="A1:G1"/>
    <mergeCell ref="H1:H4"/>
    <mergeCell ref="I1:I4"/>
  </mergeCells>
  <pageMargins left="0.25" right="0.25" top="0.75" bottom="0.75" header="0.3" footer="0.3"/>
  <pageSetup paperSize="9" scale="99" orientation="landscape" r:id="rId1"/>
  <ignoredErrors>
    <ignoredError sqref="G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Комарькова Анастасия Эдуардовна</dc:creator>
  <cp:lastModifiedBy>Комарькова Анастасия Эдуардовна</cp:lastModifiedBy>
  <cp:lastPrinted>2026-02-16T06:44:33Z</cp:lastPrinted>
  <dcterms:created xsi:type="dcterms:W3CDTF">2025-10-03T08:34:03Z</dcterms:created>
  <dcterms:modified xsi:type="dcterms:W3CDTF">2026-02-19T06:28:27Z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12ProjectFields0">
    <vt:lpwstr>255852572,255852557,255852554,255853214,255853213,255853218,255853217,255852576,255852560,255852577,255852559,255852570,255852553,255852555,255852552,188744981,188744980,188744979,188743698,188744967,188744966,188743701,188743700,188744799,188743705,18874</vt:lpwstr>
  </property>
  <property fmtid="{D5CDD505-2E9C-101B-9397-08002B2CF9AE}" pid="3" name="P12ProjectFields1">
    <vt:lpwstr>4965,188743702,188743696,205520953,205520954,205520901,205521156,205521155,205520906,205521697,205520914,205521622,205520931,205521158,205520899,205520898,205521195,205520900,205521207,205520903,205520925,205520902,205521161,205521196,</vt:lpwstr>
  </property>
  <property fmtid="{D5CDD505-2E9C-101B-9397-08002B2CF9AE}" pid="4" name="P12ContainerType">
    <vt:lpwstr>AssignmentTP.cub</vt:lpwstr>
  </property>
  <property fmtid="{D5CDD505-2E9C-101B-9397-08002B2CF9AE}" pid="5" name="P12Template">
    <vt:bool>true</vt:bool>
  </property>
</Properties>
</file>