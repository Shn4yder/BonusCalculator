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192.168.1.198\project\Ревизионная комиссия\2026\Автоматизация процессов запуска и завершения проектов\"/>
    </mc:Choice>
  </mc:AlternateContent>
  <xr:revisionPtr revIDLastSave="0" documentId="13_ncr:1_{5E12F267-57EF-4CB5-966A-D2CE6C4A068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Лист2" sheetId="2" r:id="rId1"/>
  </sheets>
  <definedNames>
    <definedName name="_xlnm.Print_Area" localSheetId="0">Лист2!$B$2:$G$68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2" l="1"/>
  <c r="F34" i="2"/>
  <c r="G39" i="2"/>
  <c r="F45" i="2" s="1"/>
  <c r="G45" i="2" s="1"/>
  <c r="G32" i="2" l="1"/>
  <c r="G34" i="2" s="1"/>
  <c r="E31" i="2"/>
  <c r="F31" i="2"/>
  <c r="D31" i="2"/>
  <c r="E30" i="2"/>
  <c r="F30" i="2"/>
  <c r="D30" i="2"/>
  <c r="G30" i="2" l="1"/>
  <c r="G31" i="2"/>
  <c r="G35" i="2" l="1"/>
  <c r="F33" i="2"/>
  <c r="F36" i="2" s="1"/>
  <c r="F37" i="2" s="1"/>
  <c r="E33" i="2"/>
  <c r="E36" i="2" s="1"/>
  <c r="E37" i="2" s="1"/>
  <c r="D33" i="2"/>
  <c r="D36" i="2" s="1"/>
  <c r="D37" i="2" l="1"/>
  <c r="G37" i="2" s="1"/>
  <c r="G36" i="2"/>
  <c r="G33" i="2"/>
  <c r="F38" i="2"/>
  <c r="F46" i="2" s="1"/>
  <c r="G38" i="2" l="1"/>
  <c r="G46" i="2" s="1"/>
  <c r="D38" i="2"/>
  <c r="D46" i="2" s="1"/>
  <c r="E38" i="2"/>
  <c r="E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Подключение" type="5" refreshedVersion="5">
    <dbPr connection="Provider=MSOLAP.5;Persist Security Info=True;Data Source=C:\Users\I756F~1.VLA\AppData\Local\Temp\Visual Reports Temporary Data\{f3ebe916-fc39-f011-bb6d-107c610d4b6d}\AssignmentTP.cub;MDX Compatibility=1;Safety Options=2;MDX Missing Member Mode=Error" command="ProjectReport" commandType="1"/>
    <olapPr sendLocale="1" rowDrillCount="1000"/>
  </connection>
</connections>
</file>

<file path=xl/sharedStrings.xml><?xml version="1.0" encoding="utf-8"?>
<sst xmlns="http://schemas.openxmlformats.org/spreadsheetml/2006/main" count="81" uniqueCount="65">
  <si>
    <t>СОГЛАСОВАНО</t>
  </si>
  <si>
    <t>УТВЕРЖДАЮ</t>
  </si>
  <si>
    <t>Куратор проекта</t>
  </si>
  <si>
    <t>Заказчик проекта</t>
  </si>
  <si>
    <t>"_____" ___________________________</t>
  </si>
  <si>
    <t>"____" ______________________________</t>
  </si>
  <si>
    <t>Бюджет (график) движения денежных средств по проекту</t>
  </si>
  <si>
    <t>Общий итог</t>
  </si>
  <si>
    <t>Ресурсы</t>
  </si>
  <si>
    <t>Данные</t>
  </si>
  <si>
    <t>Апрель</t>
  </si>
  <si>
    <t>Трудозатраты</t>
  </si>
  <si>
    <t>Затраты</t>
  </si>
  <si>
    <t>Итог Трудозатраты</t>
  </si>
  <si>
    <t>Итог Затраты</t>
  </si>
  <si>
    <t>Трудозатраты на руководство проектом</t>
  </si>
  <si>
    <t>Премиальная часть, в том числе:</t>
  </si>
  <si>
    <t>Премия руководителя</t>
  </si>
  <si>
    <t>Премия исполнителей</t>
  </si>
  <si>
    <t>ИТОГО заработная плата по проекту</t>
  </si>
  <si>
    <t>Отчисления с заработной платы</t>
  </si>
  <si>
    <t>ВСЕГО по статье "Оплата труда"</t>
  </si>
  <si>
    <t>Услуги сторонних оргнизаций</t>
  </si>
  <si>
    <t>Транспортные расходы</t>
  </si>
  <si>
    <t>Командировочные расходы</t>
  </si>
  <si>
    <t>ТМЦ и оборудование (без учета ОС)</t>
  </si>
  <si>
    <t>Основные средства (стоимостью более 100 тыс. руб. без НДС)</t>
  </si>
  <si>
    <t>Прочие расходы</t>
  </si>
  <si>
    <t>Резерв (не более 10%)</t>
  </si>
  <si>
    <t>ИТОГО:</t>
  </si>
  <si>
    <t>Лимит по БДР (за минусом действующих проектов)</t>
  </si>
  <si>
    <t>Отклонение (Лимит минус Итого по проекту)</t>
  </si>
  <si>
    <t>Источник покрытия отклонения (указать)</t>
  </si>
  <si>
    <t>Источник финансирования</t>
  </si>
  <si>
    <t>Внешние</t>
  </si>
  <si>
    <t>Внутренние, в том числе</t>
  </si>
  <si>
    <t>График составил:</t>
  </si>
  <si>
    <t>Руководитель проекта</t>
  </si>
  <si>
    <t>ФИО</t>
  </si>
  <si>
    <t>Согласовано:</t>
  </si>
  <si>
    <t>Главный бухгалтер компании – Инвестора</t>
  </si>
  <si>
    <t>Экономист компании – Инвестора</t>
  </si>
  <si>
    <t>Инвестор</t>
  </si>
  <si>
    <t>Руководитель проектного офиса</t>
  </si>
  <si>
    <t>Год</t>
  </si>
  <si>
    <t>Месяц</t>
  </si>
  <si>
    <t>2026</t>
  </si>
  <si>
    <t>Февраль</t>
  </si>
  <si>
    <t>Март</t>
  </si>
  <si>
    <t>Тищенко Марина Николаевна</t>
  </si>
  <si>
    <t>Ростовцева Анастасия Вадимовна</t>
  </si>
  <si>
    <t>Ануфриева Оксана Николаевна</t>
  </si>
  <si>
    <t>Сысоева Ирина Леонидовна</t>
  </si>
  <si>
    <t>Мегрелишвили Михаил Эмзарович</t>
  </si>
  <si>
    <t>Ткаченко Людмила Викторовна</t>
  </si>
  <si>
    <t>Давлетов Руслан Игоревич</t>
  </si>
  <si>
    <t>Мангасарян Давид Каренович</t>
  </si>
  <si>
    <t>Уставицкий Андрей Алексеевич</t>
  </si>
  <si>
    <t>Тищенко М.Н.</t>
  </si>
  <si>
    <t>Мегрелишвили М.Э.</t>
  </si>
  <si>
    <t>Ануфриева О.Н.</t>
  </si>
  <si>
    <t>Бутова Т.Н.</t>
  </si>
  <si>
    <t>__________________ Амураль И.Б.</t>
  </si>
  <si>
    <t>_____________________ Мегрелишвили М.Э.</t>
  </si>
  <si>
    <t>Автоматизация процессов запуска, ведения, контроля и завершения проектов 
согласно СТО-36-131 Управление проектами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</si>
</sst>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.00\ &quot;₽&quot;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b/>
      <u/>
      <sz val="13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0" xfId="2" applyFont="1"/>
    <xf numFmtId="0" fontId="3" fillId="0" borderId="0" xfId="0" applyFont="1"/>
    <xf numFmtId="0" fontId="4" fillId="0" borderId="0" xfId="0" applyFont="1"/>
    <xf numFmtId="164" fontId="2" fillId="0" borderId="0" xfId="2" applyNumberFormat="1" applyFont="1" applyAlignment="1">
      <alignment horizontal="right"/>
    </xf>
    <xf numFmtId="0" fontId="5" fillId="0" borderId="0" xfId="2" applyFont="1"/>
    <xf numFmtId="164" fontId="5" fillId="0" borderId="0" xfId="2" applyNumberFormat="1" applyFont="1" applyAlignment="1">
      <alignment horizontal="right"/>
    </xf>
    <xf numFmtId="0" fontId="6" fillId="0" borderId="0" xfId="2" applyFont="1"/>
    <xf numFmtId="164" fontId="6" fillId="0" borderId="0" xfId="2" applyNumberFormat="1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3" fillId="0" borderId="0" xfId="0" applyFont="1" applyAlignment="1">
      <alignment horizontal="left" vertical="center"/>
    </xf>
    <xf numFmtId="0" fontId="9" fillId="0" borderId="0" xfId="0" applyFont="1"/>
    <xf numFmtId="0" fontId="3" fillId="0" borderId="1" xfId="0" applyFont="1" applyBorder="1" applyAlignment="1">
      <alignment horizontal="left" vertical="center"/>
    </xf>
    <xf numFmtId="4" fontId="3" fillId="0" borderId="1" xfId="1" applyNumberFormat="1" applyFont="1" applyBorder="1" applyAlignment="1">
      <alignment horizontal="center"/>
    </xf>
    <xf numFmtId="0" fontId="8" fillId="0" borderId="0" xfId="0" applyFont="1" applyAlignment="1">
      <alignment horizontal="right"/>
    </xf>
    <xf numFmtId="4" fontId="3" fillId="0" borderId="0" xfId="1" applyNumberFormat="1" applyFont="1" applyBorder="1" applyAlignment="1">
      <alignment horizontal="center"/>
    </xf>
    <xf numFmtId="0" fontId="10" fillId="0" borderId="0" xfId="0" applyFont="1"/>
    <xf numFmtId="2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4" fontId="3" fillId="0" borderId="1" xfId="1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6" fillId="0" borderId="0" xfId="2" applyFont="1" applyAlignment="1">
      <alignment horizontal="center"/>
    </xf>
    <xf numFmtId="0" fontId="7" fillId="0" borderId="4" xfId="2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right"/>
    </xf>
  </cellXfs>
  <cellStyles count="3">
    <cellStyle name="Денежный" xfId="1" builtinId="4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9"/>
  <sheetViews>
    <sheetView tabSelected="1" topLeftCell="A25" zoomScaleNormal="100" workbookViewId="0">
      <selection activeCell="J41" sqref="J41:J42"/>
    </sheetView>
  </sheetViews>
  <sheetFormatPr defaultRowHeight="15" x14ac:dyDescent="0.25"/>
  <cols>
    <col min="1" max="1" width="9.140625" style="2"/>
    <col min="2" max="2" width="41.85546875" style="2" customWidth="1"/>
    <col min="3" max="3" width="14" style="2" customWidth="1"/>
    <col min="4" max="6" width="13.42578125" style="2" customWidth="1"/>
    <col min="7" max="7" width="15" style="2" customWidth="1"/>
    <col min="8" max="16384" width="9.140625" style="2"/>
  </cols>
  <sheetData>
    <row r="2" spans="2:7" ht="15.75" x14ac:dyDescent="0.25">
      <c r="B2" s="1" t="s">
        <v>0</v>
      </c>
      <c r="D2" s="3"/>
      <c r="E2" s="3"/>
      <c r="F2" s="3"/>
      <c r="G2" s="4" t="s">
        <v>1</v>
      </c>
    </row>
    <row r="3" spans="2:7" ht="15.75" x14ac:dyDescent="0.25">
      <c r="B3" s="5" t="s">
        <v>2</v>
      </c>
      <c r="D3" s="3"/>
      <c r="E3" s="3"/>
      <c r="F3" s="3"/>
      <c r="G3" s="6" t="s">
        <v>3</v>
      </c>
    </row>
    <row r="4" spans="2:7" ht="16.5" x14ac:dyDescent="0.25">
      <c r="B4" s="7" t="s">
        <v>63</v>
      </c>
      <c r="G4" s="8" t="s">
        <v>62</v>
      </c>
    </row>
    <row r="5" spans="2:7" ht="16.5" x14ac:dyDescent="0.25">
      <c r="B5" s="7" t="s">
        <v>4</v>
      </c>
      <c r="G5" s="8" t="s">
        <v>5</v>
      </c>
    </row>
    <row r="6" spans="2:7" ht="16.5" x14ac:dyDescent="0.25">
      <c r="B6" s="7"/>
      <c r="G6" s="8"/>
    </row>
    <row r="7" spans="2:7" ht="16.5" x14ac:dyDescent="0.25">
      <c r="B7" s="28" t="s">
        <v>6</v>
      </c>
      <c r="C7" s="28"/>
      <c r="D7" s="28"/>
      <c r="E7" s="28"/>
      <c r="F7" s="28"/>
      <c r="G7" s="28"/>
    </row>
    <row r="8" spans="2:7" ht="46.5" customHeight="1" x14ac:dyDescent="0.25">
      <c r="B8" s="29" t="s">
        <v>64</v>
      </c>
      <c r="C8" s="29"/>
      <c r="D8" s="29"/>
      <c r="E8" s="29"/>
      <c r="F8" s="29"/>
      <c r="G8" s="29"/>
    </row>
    <row r="9" spans="2:7" x14ac:dyDescent="0.25">
      <c r="B9" s="9"/>
      <c r="C9" s="9"/>
      <c r="D9" s="20" t="s">
        <v>44</v>
      </c>
      <c r="E9" s="20" t="s">
        <v>45</v>
      </c>
      <c r="F9" s="20"/>
      <c r="G9" s="20"/>
    </row>
    <row r="10" spans="2:7" x14ac:dyDescent="0.25">
      <c r="B10" s="9"/>
      <c r="C10" s="9"/>
      <c r="D10" s="20" t="s">
        <v>46</v>
      </c>
      <c r="E10" s="20"/>
      <c r="F10" s="20"/>
      <c r="G10" s="20" t="s">
        <v>7</v>
      </c>
    </row>
    <row r="11" spans="2:7" x14ac:dyDescent="0.25">
      <c r="B11" s="9" t="s">
        <v>8</v>
      </c>
      <c r="C11" s="9" t="s">
        <v>9</v>
      </c>
      <c r="D11" s="20" t="s">
        <v>47</v>
      </c>
      <c r="E11" s="20" t="s">
        <v>48</v>
      </c>
      <c r="F11" s="20" t="s">
        <v>10</v>
      </c>
      <c r="G11" s="20"/>
    </row>
    <row r="12" spans="2:7" x14ac:dyDescent="0.25">
      <c r="B12" s="9" t="s">
        <v>49</v>
      </c>
      <c r="C12" s="9" t="s">
        <v>11</v>
      </c>
      <c r="D12" s="18">
        <v>54.853333333333339</v>
      </c>
      <c r="E12" s="18">
        <v>118.61500000000001</v>
      </c>
      <c r="F12" s="18">
        <v>72.218333333333334</v>
      </c>
      <c r="G12" s="18">
        <v>245.6866666666667</v>
      </c>
    </row>
    <row r="13" spans="2:7" x14ac:dyDescent="0.25">
      <c r="B13" s="9"/>
      <c r="C13" s="9" t="s">
        <v>12</v>
      </c>
      <c r="D13" s="19">
        <v>0</v>
      </c>
      <c r="E13" s="19">
        <v>0</v>
      </c>
      <c r="F13" s="19">
        <v>0</v>
      </c>
      <c r="G13" s="19">
        <v>0</v>
      </c>
    </row>
    <row r="14" spans="2:7" x14ac:dyDescent="0.25">
      <c r="B14" s="9" t="s">
        <v>50</v>
      </c>
      <c r="C14" s="9" t="s">
        <v>11</v>
      </c>
      <c r="D14" s="18">
        <v>28.706666666666667</v>
      </c>
      <c r="E14" s="18">
        <v>97.615000000000009</v>
      </c>
      <c r="F14" s="18">
        <v>11.385</v>
      </c>
      <c r="G14" s="18">
        <v>137.70666666666668</v>
      </c>
    </row>
    <row r="15" spans="2:7" x14ac:dyDescent="0.25">
      <c r="B15" s="9"/>
      <c r="C15" s="9" t="s">
        <v>12</v>
      </c>
      <c r="D15" s="19">
        <v>0</v>
      </c>
      <c r="E15" s="19">
        <v>0</v>
      </c>
      <c r="F15" s="19">
        <v>0</v>
      </c>
      <c r="G15" s="19">
        <v>0</v>
      </c>
    </row>
    <row r="16" spans="2:7" x14ac:dyDescent="0.25">
      <c r="B16" s="9" t="s">
        <v>51</v>
      </c>
      <c r="C16" s="9" t="s">
        <v>11</v>
      </c>
      <c r="D16" s="18">
        <v>41.56080337605502</v>
      </c>
      <c r="E16" s="18">
        <v>118.38423076923077</v>
      </c>
      <c r="F16" s="18">
        <v>58.718333333333334</v>
      </c>
      <c r="G16" s="18">
        <v>218.66336747861911</v>
      </c>
    </row>
    <row r="17" spans="2:7" x14ac:dyDescent="0.25">
      <c r="B17" s="9"/>
      <c r="C17" s="9" t="s">
        <v>12</v>
      </c>
      <c r="D17" s="19">
        <v>0</v>
      </c>
      <c r="E17" s="19">
        <v>0</v>
      </c>
      <c r="F17" s="19">
        <v>0</v>
      </c>
      <c r="G17" s="19">
        <v>0</v>
      </c>
    </row>
    <row r="18" spans="2:7" x14ac:dyDescent="0.25">
      <c r="B18" s="9" t="s">
        <v>52</v>
      </c>
      <c r="C18" s="9" t="s">
        <v>11</v>
      </c>
      <c r="D18" s="18">
        <v>4</v>
      </c>
      <c r="E18" s="18">
        <v>16</v>
      </c>
      <c r="F18" s="18">
        <v>3.04</v>
      </c>
      <c r="G18" s="18">
        <v>23.04</v>
      </c>
    </row>
    <row r="19" spans="2:7" x14ac:dyDescent="0.25">
      <c r="B19" s="9"/>
      <c r="C19" s="9" t="s">
        <v>12</v>
      </c>
      <c r="D19" s="19">
        <v>0</v>
      </c>
      <c r="E19" s="19">
        <v>0</v>
      </c>
      <c r="F19" s="19">
        <v>0</v>
      </c>
      <c r="G19" s="19">
        <v>0</v>
      </c>
    </row>
    <row r="20" spans="2:7" x14ac:dyDescent="0.25">
      <c r="B20" s="9" t="s">
        <v>53</v>
      </c>
      <c r="C20" s="9" t="s">
        <v>11</v>
      </c>
      <c r="D20" s="18">
        <v>4.2833333333333332</v>
      </c>
      <c r="E20" s="18">
        <v>12</v>
      </c>
      <c r="F20" s="18">
        <v>2.3333333333333335</v>
      </c>
      <c r="G20" s="18">
        <v>18.616666666666664</v>
      </c>
    </row>
    <row r="21" spans="2:7" x14ac:dyDescent="0.25">
      <c r="B21" s="9"/>
      <c r="C21" s="9" t="s">
        <v>12</v>
      </c>
      <c r="D21" s="19">
        <v>0</v>
      </c>
      <c r="E21" s="19">
        <v>0</v>
      </c>
      <c r="F21" s="19">
        <v>0</v>
      </c>
      <c r="G21" s="19">
        <v>0</v>
      </c>
    </row>
    <row r="22" spans="2:7" x14ac:dyDescent="0.25">
      <c r="B22" s="9" t="s">
        <v>54</v>
      </c>
      <c r="C22" s="9" t="s">
        <v>11</v>
      </c>
      <c r="D22" s="18">
        <v>16</v>
      </c>
      <c r="E22" s="18">
        <v>14</v>
      </c>
      <c r="F22" s="18">
        <v>0</v>
      </c>
      <c r="G22" s="18">
        <v>30</v>
      </c>
    </row>
    <row r="23" spans="2:7" x14ac:dyDescent="0.25">
      <c r="B23" s="9"/>
      <c r="C23" s="9" t="s">
        <v>12</v>
      </c>
      <c r="D23" s="19">
        <v>0</v>
      </c>
      <c r="E23" s="19">
        <v>0</v>
      </c>
      <c r="F23" s="19">
        <v>0</v>
      </c>
      <c r="G23" s="19">
        <v>0</v>
      </c>
    </row>
    <row r="24" spans="2:7" x14ac:dyDescent="0.25">
      <c r="B24" s="9" t="s">
        <v>55</v>
      </c>
      <c r="C24" s="9" t="s">
        <v>11</v>
      </c>
      <c r="D24" s="18">
        <v>110.57</v>
      </c>
      <c r="E24" s="18">
        <v>132</v>
      </c>
      <c r="F24" s="18">
        <v>51.666666666666671</v>
      </c>
      <c r="G24" s="18">
        <v>294.23666666666668</v>
      </c>
    </row>
    <row r="25" spans="2:7" x14ac:dyDescent="0.25">
      <c r="B25" s="9"/>
      <c r="C25" s="9" t="s">
        <v>12</v>
      </c>
      <c r="D25" s="19">
        <v>60592.359999999993</v>
      </c>
      <c r="E25" s="19">
        <v>72336</v>
      </c>
      <c r="F25" s="19">
        <v>28313.333333333336</v>
      </c>
      <c r="G25" s="19">
        <v>161241.69333333333</v>
      </c>
    </row>
    <row r="26" spans="2:7" x14ac:dyDescent="0.25">
      <c r="B26" s="9" t="s">
        <v>56</v>
      </c>
      <c r="C26" s="9" t="s">
        <v>11</v>
      </c>
      <c r="D26" s="18"/>
      <c r="E26" s="18">
        <v>90</v>
      </c>
      <c r="F26" s="18">
        <v>82</v>
      </c>
      <c r="G26" s="18">
        <v>172</v>
      </c>
    </row>
    <row r="27" spans="2:7" x14ac:dyDescent="0.25">
      <c r="B27" s="9"/>
      <c r="C27" s="9" t="s">
        <v>12</v>
      </c>
      <c r="D27" s="18"/>
      <c r="E27" s="19">
        <v>38340</v>
      </c>
      <c r="F27" s="19">
        <v>34932</v>
      </c>
      <c r="G27" s="19">
        <v>73272</v>
      </c>
    </row>
    <row r="28" spans="2:7" x14ac:dyDescent="0.25">
      <c r="B28" s="9" t="s">
        <v>57</v>
      </c>
      <c r="C28" s="9" t="s">
        <v>11</v>
      </c>
      <c r="D28" s="18"/>
      <c r="E28" s="18">
        <v>98</v>
      </c>
      <c r="F28" s="18">
        <v>82</v>
      </c>
      <c r="G28" s="18">
        <v>180</v>
      </c>
    </row>
    <row r="29" spans="2:7" x14ac:dyDescent="0.25">
      <c r="B29" s="9"/>
      <c r="C29" s="9" t="s">
        <v>12</v>
      </c>
      <c r="D29" s="18"/>
      <c r="E29" s="19">
        <v>41748</v>
      </c>
      <c r="F29" s="19">
        <v>34932</v>
      </c>
      <c r="G29" s="19">
        <v>76680</v>
      </c>
    </row>
    <row r="30" spans="2:7" x14ac:dyDescent="0.25">
      <c r="B30" s="9" t="s">
        <v>13</v>
      </c>
      <c r="C30" s="9"/>
      <c r="D30" s="18">
        <f>D12+D14+D16+D18+D20+D22+D24+D26+D28</f>
        <v>259.97413670938835</v>
      </c>
      <c r="E30" s="18">
        <f t="shared" ref="E30:F30" si="0">E12+E14+E16+E18+E20+E22+E24+E26+E28</f>
        <v>696.61423076923074</v>
      </c>
      <c r="F30" s="18">
        <f t="shared" si="0"/>
        <v>363.36166666666668</v>
      </c>
      <c r="G30" s="18">
        <f>SUM(D30:F30)</f>
        <v>1319.9500341452858</v>
      </c>
    </row>
    <row r="31" spans="2:7" x14ac:dyDescent="0.25">
      <c r="B31" s="9" t="s">
        <v>14</v>
      </c>
      <c r="C31" s="9"/>
      <c r="D31" s="19">
        <f>D13+D15+D17+D19+D21+D23+D25+D27+D29</f>
        <v>60592.359999999993</v>
      </c>
      <c r="E31" s="19">
        <f t="shared" ref="E31:F31" si="1">E13+E15+E17+E19+E21+E23+E25+E27+E29</f>
        <v>152424</v>
      </c>
      <c r="F31" s="19">
        <f t="shared" si="1"/>
        <v>98177.333333333343</v>
      </c>
      <c r="G31" s="19">
        <f>SUM(D31:F31)</f>
        <v>311193.69333333336</v>
      </c>
    </row>
    <row r="32" spans="2:7" x14ac:dyDescent="0.25">
      <c r="B32" s="26" t="s">
        <v>15</v>
      </c>
      <c r="C32" s="27"/>
      <c r="D32" s="14">
        <v>30</v>
      </c>
      <c r="E32" s="14">
        <v>30</v>
      </c>
      <c r="F32" s="14">
        <v>30</v>
      </c>
      <c r="G32" s="21">
        <f>SUM(D32:F32)</f>
        <v>90</v>
      </c>
    </row>
    <row r="33" spans="2:7" x14ac:dyDescent="0.25">
      <c r="B33" s="25" t="s">
        <v>16</v>
      </c>
      <c r="C33" s="25"/>
      <c r="D33" s="14">
        <f>SUM(D34:D35)</f>
        <v>0</v>
      </c>
      <c r="E33" s="14">
        <f t="shared" ref="E33" si="2">SUM(E34:E35)</f>
        <v>0</v>
      </c>
      <c r="F33" s="14">
        <f>SUM(F34:F35)</f>
        <v>76404.738666666672</v>
      </c>
      <c r="G33" s="21">
        <f>SUM(D33:F33)</f>
        <v>76404.738666666672</v>
      </c>
    </row>
    <row r="34" spans="2:7" x14ac:dyDescent="0.25">
      <c r="B34" s="24" t="s">
        <v>17</v>
      </c>
      <c r="C34" s="24"/>
      <c r="D34" s="14"/>
      <c r="E34" s="14"/>
      <c r="F34" s="14">
        <f>G32*787*0.2</f>
        <v>14166</v>
      </c>
      <c r="G34" s="21">
        <f>F34</f>
        <v>14166</v>
      </c>
    </row>
    <row r="35" spans="2:7" x14ac:dyDescent="0.25">
      <c r="B35" s="24" t="s">
        <v>18</v>
      </c>
      <c r="C35" s="24"/>
      <c r="D35" s="14"/>
      <c r="E35" s="14"/>
      <c r="F35" s="14">
        <f>G31*0.2</f>
        <v>62238.738666666672</v>
      </c>
      <c r="G35" s="21">
        <f>F35</f>
        <v>62238.738666666672</v>
      </c>
    </row>
    <row r="36" spans="2:7" x14ac:dyDescent="0.25">
      <c r="B36" s="25" t="s">
        <v>19</v>
      </c>
      <c r="C36" s="25"/>
      <c r="D36" s="14">
        <f>D31+D33</f>
        <v>60592.359999999993</v>
      </c>
      <c r="E36" s="14">
        <f t="shared" ref="E36:F36" si="3">E31+E33</f>
        <v>152424</v>
      </c>
      <c r="F36" s="14">
        <f t="shared" si="3"/>
        <v>174582.07200000001</v>
      </c>
      <c r="G36" s="21">
        <f>SUM(D36:F36)</f>
        <v>387598.43200000003</v>
      </c>
    </row>
    <row r="37" spans="2:7" x14ac:dyDescent="0.25">
      <c r="B37" s="24" t="s">
        <v>20</v>
      </c>
      <c r="C37" s="24"/>
      <c r="D37" s="14">
        <f>D36*0.305</f>
        <v>18480.669799999996</v>
      </c>
      <c r="E37" s="14">
        <f t="shared" ref="E37:F37" si="4">E36*0.305</f>
        <v>46489.32</v>
      </c>
      <c r="F37" s="14">
        <f t="shared" si="4"/>
        <v>53247.53196</v>
      </c>
      <c r="G37" s="21">
        <f>SUM(D37:F37)</f>
        <v>118217.52176</v>
      </c>
    </row>
    <row r="38" spans="2:7" x14ac:dyDescent="0.25">
      <c r="B38" s="25" t="s">
        <v>21</v>
      </c>
      <c r="C38" s="25"/>
      <c r="D38" s="14">
        <f>SUM(D36:D37)</f>
        <v>79073.029799999989</v>
      </c>
      <c r="E38" s="14">
        <f t="shared" ref="E38:F38" si="5">SUM(E36:E37)</f>
        <v>198913.32</v>
      </c>
      <c r="F38" s="14">
        <f t="shared" si="5"/>
        <v>227829.60396000001</v>
      </c>
      <c r="G38" s="21">
        <f>SUM(G36:G37)</f>
        <v>505815.95376000006</v>
      </c>
    </row>
    <row r="39" spans="2:7" x14ac:dyDescent="0.25">
      <c r="B39" s="24" t="s">
        <v>22</v>
      </c>
      <c r="C39" s="24"/>
      <c r="D39" s="14">
        <v>5000</v>
      </c>
      <c r="E39" s="14">
        <v>5000</v>
      </c>
      <c r="F39" s="14">
        <v>5000</v>
      </c>
      <c r="G39" s="21">
        <f>SUM(D39:F39)</f>
        <v>15000</v>
      </c>
    </row>
    <row r="40" spans="2:7" x14ac:dyDescent="0.25">
      <c r="B40" s="24" t="s">
        <v>23</v>
      </c>
      <c r="C40" s="24"/>
      <c r="D40" s="14">
        <v>0</v>
      </c>
      <c r="E40" s="14">
        <v>0</v>
      </c>
      <c r="F40" s="14">
        <v>0</v>
      </c>
      <c r="G40" s="21">
        <v>0</v>
      </c>
    </row>
    <row r="41" spans="2:7" x14ac:dyDescent="0.25">
      <c r="B41" s="24" t="s">
        <v>24</v>
      </c>
      <c r="C41" s="24"/>
      <c r="D41" s="14">
        <v>0</v>
      </c>
      <c r="E41" s="14">
        <v>0</v>
      </c>
      <c r="F41" s="14">
        <v>0</v>
      </c>
      <c r="G41" s="21">
        <v>0</v>
      </c>
    </row>
    <row r="42" spans="2:7" x14ac:dyDescent="0.25">
      <c r="B42" s="24" t="s">
        <v>25</v>
      </c>
      <c r="C42" s="24"/>
      <c r="D42" s="14">
        <v>0</v>
      </c>
      <c r="E42" s="14">
        <v>0</v>
      </c>
      <c r="F42" s="14">
        <v>0</v>
      </c>
      <c r="G42" s="21">
        <v>0</v>
      </c>
    </row>
    <row r="43" spans="2:7" ht="28.5" customHeight="1" x14ac:dyDescent="0.25">
      <c r="B43" s="30" t="s">
        <v>26</v>
      </c>
      <c r="C43" s="31"/>
      <c r="D43" s="14">
        <v>0</v>
      </c>
      <c r="E43" s="14">
        <v>0</v>
      </c>
      <c r="F43" s="14">
        <v>0</v>
      </c>
      <c r="G43" s="21">
        <v>0</v>
      </c>
    </row>
    <row r="44" spans="2:7" x14ac:dyDescent="0.25">
      <c r="B44" s="24" t="s">
        <v>27</v>
      </c>
      <c r="C44" s="24"/>
      <c r="D44" s="14">
        <v>0</v>
      </c>
      <c r="E44" s="14">
        <v>0</v>
      </c>
      <c r="F44" s="14">
        <v>0</v>
      </c>
      <c r="G44" s="21">
        <v>0</v>
      </c>
    </row>
    <row r="45" spans="2:7" x14ac:dyDescent="0.25">
      <c r="B45" s="24" t="s">
        <v>28</v>
      </c>
      <c r="C45" s="24"/>
      <c r="D45" s="14">
        <v>0</v>
      </c>
      <c r="E45" s="14">
        <v>0</v>
      </c>
      <c r="F45" s="14">
        <f>G39*0.1</f>
        <v>1500</v>
      </c>
      <c r="G45" s="21">
        <f>SUM(D45:F45)</f>
        <v>1500</v>
      </c>
    </row>
    <row r="46" spans="2:7" ht="20.25" x14ac:dyDescent="0.3">
      <c r="B46" s="32" t="s">
        <v>29</v>
      </c>
      <c r="C46" s="33"/>
      <c r="D46" s="14">
        <f>SUM(D38:D45)</f>
        <v>84073.029799999989</v>
      </c>
      <c r="E46" s="14">
        <f t="shared" ref="E46:F46" si="6">SUM(E38:E45)</f>
        <v>203913.32</v>
      </c>
      <c r="F46" s="14">
        <f t="shared" si="6"/>
        <v>234329.60396000001</v>
      </c>
      <c r="G46" s="21">
        <f>SUM(G38:G45)</f>
        <v>522315.95376000006</v>
      </c>
    </row>
    <row r="47" spans="2:7" ht="20.25" x14ac:dyDescent="0.3">
      <c r="B47" s="15"/>
      <c r="C47" s="15"/>
      <c r="D47" s="16"/>
      <c r="E47" s="16"/>
      <c r="F47" s="16"/>
      <c r="G47" s="16"/>
    </row>
    <row r="49" spans="2:7" x14ac:dyDescent="0.25">
      <c r="B49" s="24" t="s">
        <v>30</v>
      </c>
      <c r="C49" s="24"/>
      <c r="D49" s="9"/>
      <c r="E49" s="9"/>
      <c r="F49" s="9"/>
      <c r="G49" s="9"/>
    </row>
    <row r="50" spans="2:7" x14ac:dyDescent="0.25">
      <c r="B50" s="24" t="s">
        <v>31</v>
      </c>
      <c r="C50" s="24"/>
      <c r="D50" s="9"/>
      <c r="E50" s="9"/>
      <c r="F50" s="9"/>
      <c r="G50" s="9"/>
    </row>
    <row r="51" spans="2:7" x14ac:dyDescent="0.25">
      <c r="B51" s="24" t="s">
        <v>32</v>
      </c>
      <c r="C51" s="24"/>
      <c r="D51" s="9"/>
      <c r="E51" s="9"/>
      <c r="F51" s="9"/>
      <c r="G51" s="9"/>
    </row>
    <row r="52" spans="2:7" x14ac:dyDescent="0.25">
      <c r="B52" s="11"/>
      <c r="C52" s="11"/>
    </row>
    <row r="53" spans="2:7" x14ac:dyDescent="0.25">
      <c r="B53" s="11" t="s">
        <v>33</v>
      </c>
      <c r="C53" s="11"/>
    </row>
    <row r="54" spans="2:7" x14ac:dyDescent="0.25">
      <c r="B54" s="13" t="s">
        <v>34</v>
      </c>
      <c r="C54" s="22"/>
      <c r="D54" s="23"/>
      <c r="E54" s="23"/>
      <c r="F54" s="23"/>
      <c r="G54" s="23"/>
    </row>
    <row r="55" spans="2:7" x14ac:dyDescent="0.25">
      <c r="B55" s="13" t="s">
        <v>35</v>
      </c>
      <c r="C55" s="22"/>
      <c r="D55" s="23"/>
      <c r="E55" s="23"/>
      <c r="F55" s="23"/>
      <c r="G55" s="23"/>
    </row>
    <row r="56" spans="2:7" x14ac:dyDescent="0.25">
      <c r="B56" s="11"/>
      <c r="C56" s="11"/>
    </row>
    <row r="57" spans="2:7" x14ac:dyDescent="0.25">
      <c r="B57" s="11"/>
      <c r="C57" s="11"/>
    </row>
    <row r="59" spans="2:7" x14ac:dyDescent="0.25">
      <c r="B59" s="12" t="s">
        <v>36</v>
      </c>
    </row>
    <row r="60" spans="2:7" ht="17.25" customHeight="1" x14ac:dyDescent="0.25">
      <c r="B60" s="2" t="s">
        <v>37</v>
      </c>
      <c r="C60" s="10"/>
      <c r="D60" s="2" t="s">
        <v>58</v>
      </c>
    </row>
    <row r="62" spans="2:7" x14ac:dyDescent="0.25">
      <c r="B62" s="12" t="s">
        <v>39</v>
      </c>
    </row>
    <row r="63" spans="2:7" ht="18.75" customHeight="1" x14ac:dyDescent="0.25">
      <c r="B63" s="2" t="s">
        <v>40</v>
      </c>
      <c r="C63" s="10"/>
      <c r="D63" s="2" t="s">
        <v>61</v>
      </c>
    </row>
    <row r="64" spans="2:7" ht="18.75" customHeight="1" x14ac:dyDescent="0.25"/>
    <row r="65" spans="2:5" ht="18.75" customHeight="1" x14ac:dyDescent="0.25">
      <c r="B65" s="2" t="s">
        <v>41</v>
      </c>
      <c r="C65" s="10"/>
      <c r="D65" s="2" t="s">
        <v>38</v>
      </c>
    </row>
    <row r="66" spans="2:5" ht="18.75" customHeight="1" x14ac:dyDescent="0.25"/>
    <row r="67" spans="2:5" ht="18.75" customHeight="1" x14ac:dyDescent="0.25">
      <c r="B67" s="2" t="s">
        <v>42</v>
      </c>
      <c r="C67" s="10"/>
      <c r="D67" s="2" t="s">
        <v>59</v>
      </c>
    </row>
    <row r="68" spans="2:5" ht="18.75" customHeight="1" x14ac:dyDescent="0.25"/>
    <row r="69" spans="2:5" x14ac:dyDescent="0.25">
      <c r="B69" s="2" t="s">
        <v>43</v>
      </c>
      <c r="C69" s="10"/>
      <c r="D69" s="2" t="s">
        <v>60</v>
      </c>
      <c r="E69" s="17"/>
    </row>
  </sheetData>
  <mergeCells count="22">
    <mergeCell ref="B32:C32"/>
    <mergeCell ref="B7:G7"/>
    <mergeCell ref="B8:G8"/>
    <mergeCell ref="B49:C49"/>
    <mergeCell ref="B43:C43"/>
    <mergeCell ref="B41:C41"/>
    <mergeCell ref="B42:C42"/>
    <mergeCell ref="B44:C44"/>
    <mergeCell ref="B45:C45"/>
    <mergeCell ref="B46:C46"/>
    <mergeCell ref="B33:C33"/>
    <mergeCell ref="B34:C34"/>
    <mergeCell ref="B35:C35"/>
    <mergeCell ref="C54:G54"/>
    <mergeCell ref="C55:G55"/>
    <mergeCell ref="B40:C40"/>
    <mergeCell ref="B36:C36"/>
    <mergeCell ref="B37:C37"/>
    <mergeCell ref="B38:C38"/>
    <mergeCell ref="B39:C39"/>
    <mergeCell ref="B50:C50"/>
    <mergeCell ref="B51:C51"/>
  </mergeCells>
  <pageMargins left="0.7" right="0.7" top="0.75" bottom="0.75" header="0.3" footer="0.3"/>
  <pageSetup paperSize="9" scale="6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Лист2</vt:lpstr>
      <vt:lpstr>Лист2!Область_печати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Лебедева Вера Ильинична</dc:creator>
  <cp:keywords/>
  <dc:description/>
  <cp:lastModifiedBy>Оксана Ануфриева</cp:lastModifiedBy>
  <cp:revision/>
  <dcterms:created xsi:type="dcterms:W3CDTF">2025-05-26T06:38:56Z</dcterms:created>
  <dcterms:modified xsi:type="dcterms:W3CDTF">2026-02-11T10:47:53Z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ProjectFields0">
    <vt:lpwstr>255852572,255852557,255852554,255853214,255853213,255853218,255853217,255852576,255852560,255852577,255852559,255852570,255852553,255852555,255852552,188744981,188744980,188744979,188743698,188744967,188744966,188743701,188743700,188744799,188743705,18874</vt:lpwstr>
  </property>
  <property fmtid="{D5CDD505-2E9C-101B-9397-08002B2CF9AE}" pid="3" name="P12ProjectFields1">
    <vt:lpwstr>4965,188743702,188743696,205520953,205520954,205520901,205521156,205521155,205520906,205521697,205520914,205521622,205520931,205521158,205520899,205520898,205521195,205520900,205521207,205520903,205520925,205520902,205521161,205521196,</vt:lpwstr>
  </property>
  <property fmtid="{D5CDD505-2E9C-101B-9397-08002B2CF9AE}" pid="4" name="P12ContainerType">
    <vt:lpwstr>AssignmentTP.cub</vt:lpwstr>
  </property>
  <property fmtid="{D5CDD505-2E9C-101B-9397-08002B2CF9AE}" pid="5" name="P12Template">
    <vt:bool>true</vt:bool>
  </property>
</Properties>
</file>