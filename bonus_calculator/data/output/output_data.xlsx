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0" yWindow="32760" windowWidth="32760" windowHeight="12105" tabRatio="600" firstSheet="0" activeTab="0" autoFilterDateGrouping="1"/>
  </bookViews>
  <sheets>
    <sheet name="Лист1" sheetId="1" state="visible" r:id="rId1"/>
  </sheets>
  <definedNames>
    <definedName name="_xlnm.Print_Area" localSheetId="0">'Лист1'!$A$1:$I$23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MMM-YY"/>
    <numFmt numFmtId="166" formatCode="MMM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mbria"/>
      <charset val="204"/>
      <family val="1"/>
      <color rgb="FF000000"/>
      <sz val="11"/>
    </font>
    <font>
      <name val="Cambria"/>
      <charset val="204"/>
      <family val="1"/>
      <b val="1"/>
      <i val="1"/>
      <color rgb="FF000000"/>
      <sz val="11"/>
    </font>
    <font>
      <name val="Cambria"/>
      <charset val="204"/>
      <family val="1"/>
      <i val="1"/>
      <color rgb="FF000000"/>
      <sz val="11"/>
    </font>
    <font/>
    <font>
      <b val="1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  <border/>
    <border/>
    <border>
      <left/>
      <right style="thin"/>
      <top/>
      <bottom style="thin"/>
      <diagonal/>
    </border>
    <border>
      <left/>
      <right style="thin"/>
      <top/>
      <bottom/>
      <diagonal/>
    </border>
    <border/>
    <border/>
    <border/>
  </borders>
  <cellStyleXfs count="3">
    <xf numFmtId="0" fontId="0" fillId="0" borderId="0"/>
    <xf numFmtId="44" fontId="2" fillId="0" borderId="0"/>
    <xf numFmtId="0" fontId="2" fillId="0" borderId="0"/>
  </cellStyleXfs>
  <cellXfs count="69">
    <xf numFmtId="0" fontId="0" fillId="0" borderId="0" pivotButton="0" quotePrefix="0" xfId="0"/>
    <xf numFmtId="0" fontId="4" fillId="0" borderId="0" pivotButton="0" quotePrefix="0" xfId="2"/>
    <xf numFmtId="0" fontId="4" fillId="0" borderId="1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0" fillId="0" borderId="2" applyAlignment="1" pivotButton="0" quotePrefix="0" xfId="0">
      <alignment vertical="center"/>
    </xf>
    <xf numFmtId="164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2">
      <alignment wrapText="1"/>
    </xf>
    <xf numFmtId="164" fontId="5" fillId="0" borderId="0" applyAlignment="1" pivotButton="0" quotePrefix="0" xfId="1">
      <alignment horizontal="center" vertical="center"/>
    </xf>
    <xf numFmtId="2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2" fontId="0" fillId="0" borderId="5" applyAlignment="1" pivotButton="0" quotePrefix="0" xfId="0">
      <alignment horizontal="center" wrapText="1"/>
    </xf>
    <xf numFmtId="164" fontId="6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applyAlignment="1" pivotButton="0" quotePrefix="0" xfId="0">
      <alignment horizontal="left" wrapText="1"/>
    </xf>
    <xf numFmtId="0" fontId="0" fillId="0" borderId="14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vertical="center" wrapText="1"/>
    </xf>
    <xf numFmtId="165" fontId="0" fillId="0" borderId="14" applyAlignment="1" pivotButton="0" quotePrefix="0" xfId="0">
      <alignment horizontal="center" wrapText="1"/>
    </xf>
    <xf numFmtId="0" fontId="0" fillId="0" borderId="14" pivotButton="0" quotePrefix="0" xfId="0"/>
    <xf numFmtId="2" fontId="0" fillId="0" borderId="14" applyAlignment="1" pivotButton="0" quotePrefix="0" xfId="0">
      <alignment horizontal="center" wrapText="1"/>
    </xf>
    <xf numFmtId="2" fontId="0" fillId="0" borderId="14" applyAlignment="1" pivotButton="0" quotePrefix="0" xfId="0">
      <alignment vertical="center"/>
    </xf>
    <xf numFmtId="164" fontId="3" fillId="0" borderId="14" applyAlignment="1" pivotButton="0" quotePrefix="0" xfId="0">
      <alignment vertical="center" wrapText="1"/>
    </xf>
    <xf numFmtId="0" fontId="0" fillId="0" borderId="14" applyAlignment="1" pivotButton="0" quotePrefix="0" xfId="0">
      <alignment vertical="center"/>
    </xf>
    <xf numFmtId="0" fontId="4" fillId="0" borderId="14" pivotButton="0" quotePrefix="0" xfId="2"/>
    <xf numFmtId="164" fontId="6" fillId="0" borderId="14" applyAlignment="1" pivotButton="0" quotePrefix="0" xfId="1">
      <alignment horizontal="center" vertical="center"/>
    </xf>
    <xf numFmtId="0" fontId="5" fillId="0" borderId="14" applyAlignment="1" pivotButton="0" quotePrefix="0" xfId="2">
      <alignment wrapText="1"/>
    </xf>
    <xf numFmtId="0" fontId="0" fillId="0" borderId="14" applyAlignment="1" pivotButton="0" quotePrefix="0" xfId="0">
      <alignment horizontal="center" vertical="center"/>
    </xf>
    <xf numFmtId="166" fontId="0" fillId="0" borderId="14" applyAlignment="1" pivotButton="0" quotePrefix="0" xfId="0">
      <alignment horizontal="center" vertical="center"/>
    </xf>
    <xf numFmtId="2" fontId="3" fillId="0" borderId="14" applyAlignment="1" pivotButton="0" quotePrefix="0" xfId="0">
      <alignment vertical="center" wrapText="1"/>
    </xf>
    <xf numFmtId="2" fontId="0" fillId="0" borderId="14" pivotButton="0" quotePrefix="0" xfId="0"/>
    <xf numFmtId="2" fontId="6" fillId="0" borderId="14" applyAlignment="1" pivotButton="0" quotePrefix="0" xfId="1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2" fontId="7" fillId="0" borderId="14" applyAlignment="1" pivotButton="0" quotePrefix="0" xfId="0">
      <alignment horizontal="center" vertical="center"/>
    </xf>
    <xf numFmtId="2" fontId="8" fillId="0" borderId="14" applyAlignment="1" pivotButton="0" quotePrefix="0" xfId="0">
      <alignment horizontal="center" vertical="center"/>
    </xf>
    <xf numFmtId="2" fontId="7" fillId="0" borderId="14" applyAlignment="1" pivotButton="0" quotePrefix="0" xfId="1">
      <alignment horizontal="center" vertical="center"/>
    </xf>
    <xf numFmtId="0" fontId="7" fillId="0" borderId="14" applyAlignment="1" pivotButton="0" quotePrefix="0" xfId="2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22" pivotButton="0" quotePrefix="0" xfId="2"/>
    <xf numFmtId="2" fontId="8" fillId="0" borderId="22" applyAlignment="1" pivotButton="0" quotePrefix="0" xfId="0">
      <alignment horizontal="center" vertical="center"/>
    </xf>
    <xf numFmtId="0" fontId="4" fillId="0" borderId="23" pivotButton="0" quotePrefix="0" xfId="2"/>
    <xf numFmtId="2" fontId="8" fillId="0" borderId="2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0" borderId="24" pivotButton="0" quotePrefix="0" xfId="2"/>
    <xf numFmtId="2" fontId="8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7" pivotButton="0" quotePrefix="0" xfId="2"/>
    <xf numFmtId="2" fontId="8" fillId="0" borderId="27" applyAlignment="1" pivotButton="0" quotePrefix="0" xfId="0">
      <alignment horizontal="center" vertical="center"/>
    </xf>
    <xf numFmtId="0" fontId="4" fillId="0" borderId="28" pivotButton="0" quotePrefix="0" xfId="2"/>
    <xf numFmtId="2" fontId="8" fillId="0" borderId="28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4" fillId="0" borderId="29" pivotButton="0" quotePrefix="0" xfId="2"/>
    <xf numFmtId="2" fontId="8" fillId="0" borderId="29" applyAlignment="1" pivotButton="0" quotePrefix="0" xfId="0">
      <alignment horizontal="center" vertical="center"/>
    </xf>
  </cellXfs>
  <cellStyles count="3">
    <cellStyle name="Обычный" xfId="0" builtinId="0"/>
    <cellStyle name="Денежный 2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tabSelected="1" zoomScaleNormal="100" zoomScaleSheetLayoutView="100" workbookViewId="0">
      <selection activeCell="J8" sqref="J8"/>
    </sheetView>
  </sheetViews>
  <sheetFormatPr baseColWidth="8" defaultRowHeight="15"/>
  <cols>
    <col width="43" customWidth="1" style="6" min="1" max="1"/>
    <col width="9.5703125" customWidth="1" style="6" min="2" max="3"/>
    <col width="12.5703125" bestFit="1" customWidth="1" style="6" min="4" max="5"/>
    <col width="11.5703125" bestFit="1" customWidth="1" style="6" min="6" max="6"/>
    <col width="19.42578125" customWidth="1" style="6" min="7" max="7"/>
    <col width="9.5703125" bestFit="1" customWidth="1" style="6" min="8" max="8"/>
    <col width="15" customWidth="1" style="6" min="9" max="9"/>
    <col width="82.85546875" customWidth="1" style="6" min="10" max="10"/>
    <col width="18.28515625" customWidth="1" style="6" min="11" max="11"/>
    <col width="14.42578125" customWidth="1" style="6" min="12" max="12"/>
    <col width="12" bestFit="1" customWidth="1" style="6" min="13" max="13"/>
  </cols>
  <sheetData>
    <row r="1" ht="30" customHeight="1" s="6">
      <c r="A1" s="66" t="inlineStr">
        <is>
          <t>Расчет премии исполнителей по проекту
"Автоматизация процессов контроля проектной деятельности и начисления заработной платы с помощью ИИ "</t>
        </is>
      </c>
      <c r="B1" s="25" t="n"/>
      <c r="C1" s="25" t="n"/>
      <c r="D1" s="25" t="n"/>
      <c r="E1" s="25" t="n"/>
      <c r="F1" s="25" t="n"/>
      <c r="G1" s="26" t="n"/>
      <c r="H1" s="59" t="inlineStr">
        <is>
          <t>КТУ</t>
        </is>
      </c>
      <c r="I1" s="60" t="inlineStr">
        <is>
          <t>Премия</t>
        </is>
      </c>
    </row>
    <row r="2" ht="15.75" customHeight="1" s="6">
      <c r="A2" s="11" t="inlineStr">
        <is>
          <t>Фактические трудозатраты</t>
        </is>
      </c>
      <c r="B2" s="12" t="n"/>
      <c r="C2" s="12" t="n"/>
      <c r="D2" s="12" t="n"/>
      <c r="E2" s="12" t="n"/>
      <c r="F2" s="12" t="n"/>
      <c r="G2" s="12" t="n"/>
      <c r="H2" s="61" t="n"/>
      <c r="I2" s="61" t="n"/>
    </row>
    <row r="3" ht="15.75" customHeight="1" s="6">
      <c r="A3" s="27" t="n"/>
      <c r="B3" s="39" t="n">
        <v>2025</v>
      </c>
      <c r="C3" s="31" t="n"/>
      <c r="D3" s="31" t="n"/>
      <c r="E3" s="39" t="n">
        <v>2026</v>
      </c>
      <c r="F3" s="31" t="n"/>
      <c r="G3" s="44" t="inlineStr">
        <is>
          <t>Общий итог</t>
        </is>
      </c>
      <c r="H3" s="31" t="n"/>
      <c r="I3" s="31" t="n"/>
    </row>
    <row r="4" ht="33.75" customHeight="1" s="6">
      <c r="A4" s="27" t="inlineStr">
        <is>
          <t>Ресурсы</t>
        </is>
      </c>
      <c r="B4" s="40" t="inlineStr">
        <is>
          <t>Октябрь</t>
        </is>
      </c>
      <c r="C4" s="40" t="inlineStr">
        <is>
          <t>Ноябрь</t>
        </is>
      </c>
      <c r="D4" s="40" t="inlineStr">
        <is>
          <t>Декабрь</t>
        </is>
      </c>
      <c r="E4" s="40" t="inlineStr">
        <is>
          <t>Январь</t>
        </is>
      </c>
      <c r="F4" s="40" t="inlineStr">
        <is>
          <t>Февраль</t>
        </is>
      </c>
      <c r="G4" s="31" t="n"/>
      <c r="H4" s="31" t="n"/>
      <c r="I4" s="31" t="n"/>
    </row>
    <row r="5" ht="15.75" customHeight="1" s="6">
      <c r="A5" s="27" t="inlineStr">
        <is>
          <t>Тищенко Марина Николаевна</t>
        </is>
      </c>
      <c r="B5" s="46" t="n">
        <v>15</v>
      </c>
      <c r="C5" s="46" t="n">
        <v>145.2595238888889</v>
      </c>
      <c r="D5" s="46" t="n">
        <v>101.5</v>
      </c>
      <c r="E5" s="46" t="n">
        <v>3</v>
      </c>
      <c r="F5" s="46" t="n">
        <v>2</v>
      </c>
      <c r="G5" s="46">
        <f>ROUND(SUM(B5:F5), 2)</f>
        <v/>
      </c>
      <c r="H5" s="46">
        <f>ROUND(G5*100/$G$13, 2)</f>
        <v/>
      </c>
      <c r="I5" s="47">
        <f>ROUND(H5/100*62238.74, 2)</f>
        <v/>
      </c>
    </row>
    <row r="6" ht="31.5" customHeight="1" s="6">
      <c r="A6" s="27" t="inlineStr">
        <is>
          <t>Ануфриева Оксана Николаевна</t>
        </is>
      </c>
      <c r="B6" s="46" t="n">
        <v>12.5</v>
      </c>
      <c r="C6" s="46" t="n">
        <v>143.6666666666667</v>
      </c>
      <c r="D6" s="46" t="n">
        <v>98.5</v>
      </c>
      <c r="E6" s="46" t="n">
        <v>3</v>
      </c>
      <c r="F6" s="46" t="n">
        <v>5</v>
      </c>
      <c r="G6" s="46">
        <f>ROUND(SUM(B6:F6), 2)</f>
        <v/>
      </c>
      <c r="H6" s="46">
        <f>ROUND(G6*100/$G$13, 2)</f>
        <v/>
      </c>
      <c r="I6" s="47">
        <f>ROUND(H6/100*62238.74, 2)</f>
        <v/>
      </c>
    </row>
    <row r="7" ht="15.75" customHeight="1" s="6">
      <c r="A7" s="27" t="inlineStr">
        <is>
          <t>Мирзоян Кристина Владимировна</t>
        </is>
      </c>
      <c r="B7" s="46" t="n">
        <v>0</v>
      </c>
      <c r="C7" s="46" t="n">
        <v>26.92619055555556</v>
      </c>
      <c r="D7" s="46" t="n">
        <v>0</v>
      </c>
      <c r="E7" s="46" t="n">
        <v>0</v>
      </c>
      <c r="F7" s="46" t="n">
        <v>0</v>
      </c>
      <c r="G7" s="46">
        <f>ROUND(SUM(B7:F7), 2)</f>
        <v/>
      </c>
      <c r="H7" s="46">
        <f>ROUND(G7*100/$G$13, 2)</f>
        <v/>
      </c>
      <c r="I7" s="47">
        <f>ROUND(H7/100*62238.74, 2)</f>
        <v/>
      </c>
    </row>
    <row r="8" ht="15.75" customHeight="1" s="6">
      <c r="A8" s="27" t="inlineStr">
        <is>
          <t>Давыдов Артем Васильевич</t>
        </is>
      </c>
      <c r="B8" s="46" t="n">
        <v>0</v>
      </c>
      <c r="C8" s="46" t="n">
        <v>15.59285722222222</v>
      </c>
      <c r="D8" s="46" t="n">
        <v>0</v>
      </c>
      <c r="E8" s="46" t="n">
        <v>0</v>
      </c>
      <c r="F8" s="46" t="n">
        <v>0</v>
      </c>
      <c r="G8" s="46">
        <f>ROUND(SUM(B8:F8), 2)</f>
        <v/>
      </c>
      <c r="H8" s="46">
        <f>ROUND(G8*100/$G$13, 2)</f>
        <v/>
      </c>
      <c r="I8" s="47">
        <f>ROUND(H8/100*62238.74, 2)</f>
        <v/>
      </c>
      <c r="J8" s="5" t="n"/>
    </row>
    <row r="9" ht="15.75" customHeight="1" s="6">
      <c r="A9" s="27" t="inlineStr">
        <is>
          <t>Гапонова Ксения Святославовна</t>
        </is>
      </c>
      <c r="B9" s="46" t="n">
        <v>0</v>
      </c>
      <c r="C9" s="46" t="n">
        <v>13.14285722222222</v>
      </c>
      <c r="D9" s="46" t="n">
        <v>30.4</v>
      </c>
      <c r="E9" s="46" t="n">
        <v>0</v>
      </c>
      <c r="F9" s="46" t="n">
        <v>7.5</v>
      </c>
      <c r="G9" s="46">
        <f>ROUND(SUM(B9:F9), 2)</f>
        <v/>
      </c>
      <c r="H9" s="46">
        <f>ROUND(G9*100/$G$13, 2)</f>
        <v/>
      </c>
      <c r="I9" s="47">
        <f>ROUND(H9/100*62238.74, 2)</f>
        <v/>
      </c>
      <c r="J9" s="5" t="n"/>
    </row>
    <row r="10" ht="15.75" customHeight="1" s="6">
      <c r="A10" s="27" t="inlineStr">
        <is>
          <t>Никитаев Алексей Вячеславович</t>
        </is>
      </c>
      <c r="B10" s="46" t="n">
        <v>20.125</v>
      </c>
      <c r="C10" s="46" t="n">
        <v>130.6761905555556</v>
      </c>
      <c r="D10" s="46" t="n">
        <v>88</v>
      </c>
      <c r="E10" s="46" t="n">
        <v>0</v>
      </c>
      <c r="F10" s="46" t="n">
        <v>0</v>
      </c>
      <c r="G10" s="46">
        <f>ROUND(SUM(B10:F10), 2)</f>
        <v/>
      </c>
      <c r="H10" s="46">
        <f>ROUND(G10*100/$G$13, 2)</f>
        <v/>
      </c>
      <c r="I10" s="47">
        <f>ROUND(H10/100*62238.74, 2)</f>
        <v/>
      </c>
    </row>
    <row r="11">
      <c r="A11" s="31" t="inlineStr">
        <is>
          <t>Давлетов Руслан Игоревич</t>
        </is>
      </c>
      <c r="B11" s="46" t="n">
        <v>8</v>
      </c>
      <c r="C11" s="46" t="n">
        <v>149.6428572222222</v>
      </c>
      <c r="D11" s="46" t="n">
        <v>136</v>
      </c>
      <c r="E11" s="46" t="n">
        <v>99</v>
      </c>
      <c r="F11" s="46" t="n">
        <v>12</v>
      </c>
      <c r="G11" s="46">
        <f>ROUND(SUM(B11:F11), 2)</f>
        <v/>
      </c>
      <c r="H11" s="46">
        <f>ROUND(G11*100/$G$13, 2)</f>
        <v/>
      </c>
      <c r="I11" s="47">
        <f>ROUND(H11/100*62238.74, 2)</f>
        <v/>
      </c>
    </row>
    <row r="12">
      <c r="A12" s="36" t="inlineStr">
        <is>
          <t>Харыбин А.В.</t>
        </is>
      </c>
      <c r="B12" s="48" t="n">
        <v>0</v>
      </c>
      <c r="C12" s="46" t="n">
        <v>15.59285722222222</v>
      </c>
      <c r="D12" s="46" t="n">
        <v>33</v>
      </c>
      <c r="E12" s="46" t="n">
        <v>0</v>
      </c>
      <c r="F12" s="46" t="n">
        <v>0</v>
      </c>
      <c r="G12" s="46">
        <f>ROUND(SUM(B12:F12), 2)</f>
        <v/>
      </c>
      <c r="H12" s="46">
        <f>ROUND(G12*100/$G$13, 2)</f>
        <v/>
      </c>
      <c r="I12" s="47">
        <f>ROUND(H12/100*62238.74, 2)</f>
        <v/>
      </c>
    </row>
    <row r="13">
      <c r="A13" s="49" t="inlineStr">
        <is>
          <t>Общий итог</t>
        </is>
      </c>
      <c r="B13" s="46">
        <f>ROUND(SUM(B5:B12), 2)</f>
        <v/>
      </c>
      <c r="C13" s="46">
        <f>ROUND(SUM(C5:C12), 2)</f>
        <v/>
      </c>
      <c r="D13" s="46">
        <f>ROUND(SUM(D5:D12), 2)</f>
        <v/>
      </c>
      <c r="E13" s="46">
        <f>ROUND(SUM(E5:E12), 2)</f>
        <v/>
      </c>
      <c r="F13" s="46">
        <f>ROUND(SUM(F5:F12), 2)</f>
        <v/>
      </c>
      <c r="G13" s="46">
        <f>ROUND(SUM(G5:G12), 2)</f>
        <v/>
      </c>
      <c r="H13" s="46">
        <f>ROUND(SUM(H5:H12), 2)</f>
        <v/>
      </c>
      <c r="I13" s="47">
        <f>ROUND(SUM(I5:I12), 2)</f>
        <v/>
      </c>
    </row>
    <row r="14">
      <c r="A14" s="7" t="n"/>
      <c r="B14" s="8" t="n"/>
      <c r="C14" s="8" t="n"/>
    </row>
    <row r="15">
      <c r="A15" s="67" t="inlineStr">
        <is>
          <t>Премия РП</t>
        </is>
      </c>
      <c r="B15" s="1" t="n"/>
      <c r="C15" s="1" t="n"/>
      <c r="I15" s="68" t="n">
        <v>14166</v>
      </c>
    </row>
    <row r="16">
      <c r="A16" s="1" t="inlineStr">
        <is>
          <t>Руководитель проекта</t>
        </is>
      </c>
      <c r="B16" s="2" t="n"/>
      <c r="C16" s="1" t="inlineStr">
        <is>
          <t>Гапонова К.С.</t>
        </is>
      </c>
    </row>
    <row r="17">
      <c r="A17" s="1" t="n"/>
      <c r="B17" s="1" t="n"/>
      <c r="C17" s="1" t="n"/>
    </row>
    <row r="18">
      <c r="A18" s="1" t="inlineStr">
        <is>
          <t>Куратор / Заказчик</t>
        </is>
      </c>
      <c r="B18" s="2" t="n"/>
      <c r="C18" s="1" t="inlineStr">
        <is>
          <t>Амураль И.Б.</t>
        </is>
      </c>
    </row>
    <row r="19">
      <c r="A19" s="1" t="n"/>
      <c r="B19" s="3" t="n"/>
      <c r="C19" s="1" t="n"/>
    </row>
    <row r="20">
      <c r="A20" s="1" t="inlineStr">
        <is>
          <t>Инвестор</t>
        </is>
      </c>
      <c r="B20" s="2" t="n"/>
      <c r="C20" s="1" t="inlineStr">
        <is>
          <t>Мегрелишвили М.Э.</t>
        </is>
      </c>
    </row>
    <row r="21">
      <c r="A21" s="1" t="n"/>
      <c r="B21" s="3" t="n"/>
      <c r="C21" s="1" t="n"/>
    </row>
    <row r="22">
      <c r="A22" s="1" t="inlineStr">
        <is>
          <t>Руководитель проектного офиса</t>
        </is>
      </c>
      <c r="B22" s="2" t="n"/>
      <c r="C22" s="1" t="inlineStr">
        <is>
          <t>Ануфриева О.Н.</t>
        </is>
      </c>
    </row>
    <row r="36">
      <c r="A36" s="1" t="n"/>
      <c r="B36" s="1" t="n"/>
      <c r="C36" s="1" t="n"/>
    </row>
  </sheetData>
  <mergeCells count="6">
    <mergeCell ref="B3:D3"/>
    <mergeCell ref="A1:G1"/>
    <mergeCell ref="I1:I4"/>
    <mergeCell ref="G3:G4"/>
    <mergeCell ref="H1:H4"/>
    <mergeCell ref="E3:F3"/>
  </mergeCells>
  <pageMargins left="0.25" right="0.25" top="0.75" bottom="0.75" header="0.3" footer="0.3"/>
  <pageSetup orientation="landscape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Комарькова Анастасия Эдуардовна</dc:creator>
  <dcterms:created xsi:type="dcterms:W3CDTF">2025-10-03T08:34:03Z</dcterms:created>
  <dcterms:modified xsi:type="dcterms:W3CDTF">2026-02-19T09:23:50Z</dcterms:modified>
  <cp:lastModifiedBy>Комарькова Анастасия Эдуардовна</cp:lastModifiedBy>
  <cp:lastPrinted>2026-02-16T06:44:33Z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12ProjectFields0" fmtid="{D5CDD505-2E9C-101B-9397-08002B2CF9AE}" pid="2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name="P12ProjectFields1" fmtid="{D5CDD505-2E9C-101B-9397-08002B2CF9AE}" pid="3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name="P12ContainerType" fmtid="{D5CDD505-2E9C-101B-9397-08002B2CF9AE}" pid="4">
    <vt:lpwstr>AssignmentTP.cub</vt:lpwstr>
  </property>
  <property name="P12Template" fmtid="{D5CDD505-2E9C-101B-9397-08002B2CF9AE}" pid="5">
    <vt:bool>1</vt:bool>
  </property>
</Properties>
</file>