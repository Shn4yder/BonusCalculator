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10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  <font>
      <name val="Calibri"/>
      <sz val="11"/>
    </font>
  </fonts>
  <fills count="2">
    <fill>
      <patternFill/>
    </fill>
    <fill>
      <patternFill patternType="gray125"/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  <border/>
    <border/>
    <border/>
    <border/>
    <border/>
    <border/>
    <border/>
    <border/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101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  <xf numFmtId="0" fontId="4" fillId="0" borderId="31" pivotButton="0" quotePrefix="0" xfId="2"/>
    <xf numFmtId="2" fontId="8" fillId="0" borderId="31" applyAlignment="1" pivotButton="0" quotePrefix="0" xfId="0">
      <alignment horizontal="center" vertical="center"/>
    </xf>
    <xf numFmtId="0" fontId="4" fillId="0" borderId="32" pivotButton="0" quotePrefix="0" xfId="2"/>
    <xf numFmtId="2" fontId="8" fillId="0" borderId="32" applyAlignment="1" pivotButton="0" quotePrefix="0" xfId="0">
      <alignment horizontal="center" vertical="center"/>
    </xf>
    <xf numFmtId="0" fontId="4" fillId="0" borderId="33" pivotButton="0" quotePrefix="0" xfId="2"/>
    <xf numFmtId="2" fontId="8" fillId="0" borderId="33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2">
      <alignment horizontal="left" vertical="center"/>
    </xf>
    <xf numFmtId="0" fontId="9" fillId="0" borderId="0" applyAlignment="1" pivotButton="0" quotePrefix="0" xfId="2">
      <alignment horizontal="left" vertical="center"/>
    </xf>
    <xf numFmtId="0" fontId="4" fillId="0" borderId="34" pivotButton="0" quotePrefix="0" xfId="2"/>
    <xf numFmtId="2" fontId="8" fillId="0" borderId="3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0" borderId="14" applyAlignment="1" pivotButton="0" quotePrefix="0" xfId="0">
      <alignment horizontal="center" vertical="center"/>
    </xf>
    <xf numFmtId="0" fontId="9" fillId="0" borderId="35" applyAlignment="1" pivotButton="0" quotePrefix="0" xfId="0">
      <alignment horizontal="left" vertical="center"/>
    </xf>
    <xf numFmtId="2" fontId="8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left" vertical="center"/>
    </xf>
    <xf numFmtId="2" fontId="8" fillId="0" borderId="3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vertical="center"/>
    </xf>
    <xf numFmtId="2" fontId="8" fillId="0" borderId="37" applyAlignment="1" pivotButton="0" quotePrefix="0" xfId="0">
      <alignment horizontal="center" vertical="center"/>
    </xf>
    <xf numFmtId="0" fontId="0" fillId="0" borderId="38" pivotButton="0" quotePrefix="0" xfId="0"/>
    <xf numFmtId="2" fontId="8" fillId="0" borderId="38" applyAlignment="1" pivotButton="0" quotePrefix="0" xfId="0">
      <alignment horizontal="center" vertical="center"/>
    </xf>
    <xf numFmtId="0" fontId="0" fillId="0" borderId="39" pivotButton="0" quotePrefix="0" xfId="0"/>
    <xf numFmtId="2" fontId="8" fillId="0" borderId="39" applyAlignment="1" pivotButton="0" quotePrefix="0" xfId="0">
      <alignment horizontal="center" vertical="center"/>
    </xf>
    <xf numFmtId="0" fontId="0" fillId="0" borderId="40" pivotButton="0" quotePrefix="0" xfId="0"/>
    <xf numFmtId="2" fontId="8" fillId="0" borderId="40" applyAlignment="1" pivotButton="0" quotePrefix="0" xfId="0">
      <alignment horizontal="center" vertical="center"/>
    </xf>
    <xf numFmtId="0" fontId="0" fillId="0" borderId="41" pivotButton="0" quotePrefix="0" xfId="0"/>
    <xf numFmtId="2" fontId="8" fillId="0" borderId="41" applyAlignment="1" pivotButton="0" quotePrefix="0" xfId="0">
      <alignment horizontal="center" vertical="center"/>
    </xf>
    <xf numFmtId="0" fontId="0" fillId="0" borderId="42" pivotButton="0" quotePrefix="0" xfId="0"/>
    <xf numFmtId="2" fontId="8" fillId="0" borderId="42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77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78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78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78" t="inlineStr">
        <is>
          <t>Гапонова Ксения Святославовна</t>
        </is>
      </c>
      <c r="B5" s="46" t="n">
        <v>0</v>
      </c>
      <c r="C5" s="46" t="n">
        <v>13.14285722222222</v>
      </c>
      <c r="D5" s="46" t="n">
        <v>30.4</v>
      </c>
      <c r="E5" s="46" t="n">
        <v>0</v>
      </c>
      <c r="F5" s="46" t="n">
        <v>7.5</v>
      </c>
      <c r="G5" s="46">
        <f>ROUND(SUM(B5:F5), 2)</f>
        <v/>
      </c>
      <c r="H5" s="46" t="n">
        <v>3.88</v>
      </c>
      <c r="I5" s="47" t="n">
        <v>2414.86</v>
      </c>
    </row>
    <row r="6" ht="31.5" customHeight="1" s="6">
      <c r="A6" s="78" t="inlineStr">
        <is>
          <t>Общий итог</t>
        </is>
      </c>
      <c r="B6" s="46">
        <f>ROUND(SUM(B5:B5), 2)</f>
        <v/>
      </c>
      <c r="C6" s="46">
        <f>ROUND(SUM(C5:C5), 2)</f>
        <v/>
      </c>
      <c r="D6" s="46">
        <f>ROUND(SUM(D5:D5), 2)</f>
        <v/>
      </c>
      <c r="E6" s="46">
        <f>ROUND(SUM(E5:E5), 2)</f>
        <v/>
      </c>
      <c r="F6" s="46">
        <f>ROUND(SUM(F5:F5), 2)</f>
        <v/>
      </c>
      <c r="G6" s="46">
        <f>ROUND(SUM(G5:G5), 2)</f>
        <v/>
      </c>
      <c r="H6" s="46">
        <f>ROUND(SUM(H5:H5), 2)</f>
        <v/>
      </c>
      <c r="I6" s="47">
        <f>ROUND(SUM(I5:I5), 2)</f>
        <v/>
      </c>
    </row>
    <row r="7" ht="15.75" customHeight="1" s="6">
      <c r="A7" s="83" t="n"/>
    </row>
    <row r="8" ht="15.75" customHeight="1" s="6">
      <c r="A8" s="99" t="inlineStr">
        <is>
          <t>Премия РП</t>
        </is>
      </c>
      <c r="I8" s="100" t="n">
        <v>14166</v>
      </c>
    </row>
    <row r="9" ht="15.75" customHeight="1" s="6">
      <c r="A9" s="1" t="inlineStr">
        <is>
          <t>Руководитель проекта</t>
        </is>
      </c>
      <c r="B9" s="2" t="n"/>
      <c r="C9" s="1" t="inlineStr">
        <is>
          <t>Гапонова К.С.</t>
        </is>
      </c>
    </row>
    <row r="10" ht="15.75" customHeight="1" s="6">
      <c r="A10" s="80" t="n"/>
      <c r="B10" s="1" t="n"/>
      <c r="C10" s="1" t="n"/>
    </row>
    <row r="11">
      <c r="A11" s="1" t="inlineStr">
        <is>
          <t>Куратор / Заказчик</t>
        </is>
      </c>
      <c r="B11" s="2" t="n"/>
      <c r="C11" s="1" t="inlineStr">
        <is>
          <t>Амураль И.Б.</t>
        </is>
      </c>
    </row>
    <row r="12">
      <c r="A12" s="80" t="n"/>
      <c r="B12" s="3" t="n"/>
      <c r="C12" s="1" t="n"/>
    </row>
    <row r="13">
      <c r="A13" s="1" t="inlineStr">
        <is>
          <t>Инвестор</t>
        </is>
      </c>
      <c r="B13" s="2" t="n"/>
      <c r="C13" s="1" t="inlineStr">
        <is>
          <t>Мегрелишвили М.Э.</t>
        </is>
      </c>
    </row>
    <row r="14">
      <c r="A14" s="80" t="n"/>
      <c r="B14" s="3" t="n"/>
      <c r="C14" s="1" t="n"/>
    </row>
    <row r="15">
      <c r="A15" s="1" t="inlineStr">
        <is>
          <t>Руководитель проектного офиса</t>
        </is>
      </c>
      <c r="B15" s="2" t="n"/>
      <c r="C15" s="1" t="inlineStr">
        <is>
          <t>Ануфриева О.Н.</t>
        </is>
      </c>
    </row>
    <row r="16">
      <c r="A16" s="83" t="n"/>
    </row>
    <row r="17">
      <c r="A17" s="83" t="n"/>
    </row>
    <row r="18">
      <c r="A18" s="83" t="n"/>
    </row>
    <row r="19">
      <c r="A19" s="83" t="n"/>
    </row>
    <row r="20">
      <c r="A20" s="83" t="n"/>
    </row>
    <row r="21">
      <c r="A21" s="83" t="n"/>
    </row>
    <row r="22">
      <c r="A22" s="83" t="n"/>
    </row>
    <row r="23">
      <c r="A23" s="83" t="n"/>
    </row>
    <row r="24">
      <c r="A24" s="83" t="n"/>
    </row>
    <row r="25">
      <c r="A25" s="83" t="n"/>
    </row>
    <row r="26">
      <c r="A26" s="83" t="n"/>
    </row>
    <row r="27">
      <c r="A27" s="83" t="n"/>
    </row>
    <row r="28">
      <c r="A28" s="83" t="n"/>
    </row>
    <row r="29">
      <c r="A29" s="80" t="n"/>
      <c r="B29" s="1" t="n"/>
      <c r="C29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2026-02-19T11:30:07Z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